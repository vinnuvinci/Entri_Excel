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8fb57c0829c0ace3/Data Analytics Course/Assignments/"/>
    </mc:Choice>
  </mc:AlternateContent>
  <xr:revisionPtr revIDLastSave="162" documentId="11_1C7413A03C55C9D6C729A121CD02E8CB7FE62493" xr6:coauthVersionLast="47" xr6:coauthVersionMax="47" xr10:uidLastSave="{916B926E-2B51-463A-9648-A24CDB162B4C}"/>
  <bookViews>
    <workbookView xWindow="-108" yWindow="-108" windowWidth="23256" windowHeight="12456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G15" i="2"/>
  <c r="G18" i="2"/>
  <c r="G5" i="2"/>
  <c r="G12" i="2"/>
  <c r="G26" i="2"/>
  <c r="G7" i="2"/>
  <c r="G23" i="2"/>
  <c r="G27" i="2"/>
  <c r="G6" i="2"/>
  <c r="G17" i="2"/>
  <c r="G20" i="2"/>
  <c r="G29" i="2"/>
  <c r="G9" i="2"/>
  <c r="G21" i="2"/>
  <c r="G19" i="2"/>
  <c r="G25" i="2"/>
  <c r="G24" i="2"/>
  <c r="G30" i="2"/>
  <c r="G2" i="2"/>
  <c r="G16" i="2"/>
  <c r="G10" i="2"/>
  <c r="G22" i="2"/>
  <c r="G32" i="2"/>
  <c r="G4" i="2"/>
  <c r="G13" i="2"/>
  <c r="G8" i="2"/>
  <c r="G14" i="2"/>
  <c r="G28" i="2"/>
  <c r="G3" i="2"/>
  <c r="G11" i="2"/>
  <c r="G31" i="2"/>
</calcChain>
</file>

<file path=xl/sharedStrings.xml><?xml version="1.0" encoding="utf-8"?>
<sst xmlns="http://schemas.openxmlformats.org/spreadsheetml/2006/main" count="153" uniqueCount="119">
  <si>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</si>
  <si>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</si>
  <si>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</si>
  <si>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</si>
  <si>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</si>
  <si>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</si>
  <si>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</si>
  <si>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</si>
  <si>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</si>
  <si>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</si>
  <si>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</si>
  <si>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</si>
  <si>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</si>
  <si>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</si>
  <si>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</si>
  <si>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</si>
  <si>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</si>
  <si>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</si>
  <si>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</si>
  <si>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</si>
  <si>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</si>
  <si>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</si>
  <si>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</si>
  <si>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</si>
  <si>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</si>
  <si>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</si>
  <si>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</si>
  <si>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</si>
  <si>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</si>
  <si>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</si>
  <si>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</si>
  <si>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</si>
  <si>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</si>
  <si>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</si>
  <si>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</si>
  <si>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</si>
  <si>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</si>
  <si>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</si>
  <si>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</si>
  <si>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</si>
  <si>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</si>
  <si>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</si>
  <si>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</si>
  <si>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</si>
  <si>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</si>
  <si>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</si>
  <si>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</si>
  <si>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</si>
  <si>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</si>
  <si>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</si>
  <si>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</si>
  <si>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</si>
  <si>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</si>
  <si>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</si>
  <si>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</si>
  <si>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</si>
  <si>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</si>
  <si>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</si>
  <si>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</si>
  <si>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</si>
  <si>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</si>
  <si>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</si>
  <si>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</si>
  <si>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</si>
  <si>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</si>
  <si>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</si>
  <si>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</si>
  <si>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</si>
  <si>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</si>
  <si>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</si>
  <si>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</si>
  <si>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</si>
  <si>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</si>
  <si>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</si>
  <si>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</si>
  <si>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</si>
  <si>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</si>
  <si>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</si>
  <si>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</si>
  <si>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</si>
  <si>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</si>
  <si>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</si>
  <si>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</si>
  <si>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</si>
  <si>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</si>
  <si>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</si>
  <si>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</si>
  <si>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</si>
  <si>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</si>
  <si>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</si>
  <si>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</si>
  <si>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</si>
  <si>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</si>
  <si>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</si>
  <si>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</si>
  <si>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</si>
  <si>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</si>
  <si>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</si>
  <si>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</si>
  <si>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</si>
  <si>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</si>
  <si>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</si>
  <si>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</si>
  <si>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</si>
  <si>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</si>
  <si>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</si>
  <si>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</si>
  <si>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</si>
  <si>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</si>
  <si>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</si>
  <si>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</si>
  <si>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</si>
  <si>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</si>
  <si>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</si>
  <si>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</si>
  <si>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Missing Price</t>
  </si>
  <si>
    <t>Manufacturing Date</t>
  </si>
  <si>
    <t>Country Code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</si>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</sst>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dd\-mm\-yyyy"/>
  </numFmts>
  <fonts count="9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44" fontId="7" fillId="2" borderId="0" xfId="1" applyFont="1" applyFill="1" applyAlignment="1">
      <alignment horizontal="center"/>
    </xf>
    <xf numFmtId="44" fontId="5" fillId="0" borderId="0" xfId="1" applyFont="1"/>
    <xf numFmtId="44" fontId="0" fillId="0" borderId="0" xfId="1" applyFont="1"/>
    <xf numFmtId="164" fontId="7" fillId="2" borderId="0" xfId="0" applyNumberFormat="1" applyFont="1" applyFill="1" applyAlignment="1">
      <alignment horizontal="center"/>
    </xf>
    <xf numFmtId="164" fontId="0" fillId="0" borderId="0" xfId="0" applyNumberFormat="1"/>
  </cellXfs>
  <cellStyles count="2">
    <cellStyle name="Currency" xfId="1" builtinId="4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numFmt numFmtId="164" formatCode="dd\-mm\-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79B661-841A-446B-95C3-433219E08676}" name="Table2" displayName="Table2" ref="A1:J32" totalsRowShown="0" headerRowDxfId="9">
  <autoFilter ref="A1:J32" xr:uid="{1879B661-841A-446B-95C3-433219E08676}"/>
  <tableColumns count="10">
    <tableColumn id="1" xr3:uid="{73ED4B38-0FD8-4908-BAB4-ACA69F42D886}" name="Product ID" dataDxfId="8" dataCellStyle="Currency"/>
    <tableColumn id="2" xr3:uid="{784D93B3-3511-4879-B573-510F87AFCAA8}" name="Product Name" dataDxfId="7" dataCellStyle="Currency"/>
    <tableColumn id="3" xr3:uid="{894EA28D-71DE-4189-932B-BBE6B4369936}" name="Brand Name" dataDxfId="6" dataCellStyle="Currency"/>
    <tableColumn id="4" xr3:uid="{D9785B07-E2F9-4EF4-84D9-F423C35E7B05}" name="Price ($)" dataDxfId="5" dataCellStyle="Currency"/>
    <tableColumn id="5" xr3:uid="{FF28B620-687F-49C4-85B3-2C6AC82F11B1}" name="Quantity" dataDxfId="4"/>
    <tableColumn id="6" xr3:uid="{FAAC49B3-4966-4FA0-BFDD-D56051D0E2F4}" name="Category" dataDxfId="3"/>
    <tableColumn id="7" xr3:uid="{AB6494DC-95B6-4586-AD67-C87D443ECFC8}" name="Missing Price" dataDxfId="2" dataCellStyle="Currency">
      <calculatedColumnFormula>IF(D2="",AVERAGEIF($B$2:$B$35,B2,$D$2:$D$35),D2)</calculatedColumnFormula>
    </tableColumn>
    <tableColumn id="8" xr3:uid="{70FC2A0C-1640-43FD-872B-D9508966914F}" name="Manufacturing Date" dataDxfId="1">
      <calculatedColumnFormula>LEFT(A2,6)</calculatedColumnFormula>
    </tableColumn>
    <tableColumn id="9" xr3:uid="{E7909776-18B9-4594-BAF1-3B094E8385B7}" name="Country Code">
      <calculatedColumnFormula>RIGHT(A2,2)</calculatedColumnFormula>
    </tableColumn>
    <tableColumn id="10" xr3:uid="{04B203E8-D452-4446-B7DA-50E3ED0EB602}" name="Product Brand">
      <calculatedColumnFormula>CONCATENATE(PROPER(B2)," ",PROPER(C2))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E10" sqref="E10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tabSelected="1" workbookViewId="0">
      <selection activeCell="F1" sqref="F1:F1048576"/>
    </sheetView>
  </sheetViews>
  <sheetFormatPr defaultColWidth="12.6640625" defaultRowHeight="15" customHeight="1" x14ac:dyDescent="0.25"/>
  <cols>
    <col min="1" max="4" width="17.44140625" style="10" customWidth="1"/>
    <col min="5" max="6" width="15.109375" customWidth="1"/>
    <col min="7" max="7" width="17.44140625" style="10" customWidth="1"/>
    <col min="8" max="8" width="19.88671875" style="12" customWidth="1"/>
    <col min="9" max="9" width="15.109375" customWidth="1"/>
    <col min="10" max="10" width="21.44140625" bestFit="1" customWidth="1"/>
  </cols>
  <sheetData>
    <row r="1" spans="1:10" ht="15.75" customHeight="1" x14ac:dyDescent="0.25">
      <c r="A1" s="8" t="s">
        <v>19</v>
      </c>
      <c r="B1" s="8" t="s">
        <v>20</v>
      </c>
      <c r="C1" s="8" t="s">
        <v>21</v>
      </c>
      <c r="D1" s="8" t="s">
        <v>22</v>
      </c>
      <c r="E1" s="7" t="s">
        <v>23</v>
      </c>
      <c r="F1" s="7" t="s">
        <v>24</v>
      </c>
      <c r="G1" s="8" t="s">
        <v>115</v>
      </c>
      <c r="H1" s="11" t="s">
        <v>116</v>
      </c>
      <c r="I1" s="7" t="s">
        <v>117</v>
      </c>
      <c r="J1" s="7" t="s">
        <v>118</v>
      </c>
    </row>
    <row r="2" spans="1:10" ht="15.75" customHeight="1" x14ac:dyDescent="0.25">
      <c r="A2" s="9" t="s">
        <v>79</v>
      </c>
      <c r="B2" s="9" t="s">
        <v>80</v>
      </c>
      <c r="C2" s="9" t="s">
        <v>81</v>
      </c>
      <c r="D2" s="9">
        <v>150</v>
      </c>
      <c r="E2">
        <v>15</v>
      </c>
      <c r="F2" t="s">
        <v>32</v>
      </c>
      <c r="G2" s="9">
        <f t="shared" ref="G2:G14" si="0">IF(D2="",AVERAGEIF($B$2:$B$35,B2,$D$2:$D$35),D2)</f>
        <v>150</v>
      </c>
      <c r="H2" s="12" t="str">
        <f>LEFT(A2,6)</f>
        <v>01-MAR</v>
      </c>
      <c r="I2" t="str">
        <f>RIGHT(A2,2)</f>
        <v>UK</v>
      </c>
      <c r="J2" t="str">
        <f>CONCATENATE(PROPER(B2)," ",PROPER(C2))</f>
        <v>Sunglasses Oakley</v>
      </c>
    </row>
    <row r="3" spans="1:10" ht="15.75" customHeight="1" x14ac:dyDescent="0.25">
      <c r="A3" s="9" t="s">
        <v>109</v>
      </c>
      <c r="B3" s="9" t="s">
        <v>110</v>
      </c>
      <c r="C3" s="9" t="s">
        <v>111</v>
      </c>
      <c r="D3" s="9">
        <v>50</v>
      </c>
      <c r="E3">
        <v>50</v>
      </c>
      <c r="F3" t="s">
        <v>32</v>
      </c>
      <c r="G3" s="9">
        <f t="shared" si="0"/>
        <v>50</v>
      </c>
      <c r="H3" s="12" t="str">
        <f t="shared" ref="H3:H35" si="1">LEFT(A3,6)</f>
        <v>02-DEC</v>
      </c>
      <c r="I3" t="str">
        <f t="shared" ref="I3:I35" si="2">RIGHT(A3,2)</f>
        <v>CA</v>
      </c>
      <c r="J3" t="str">
        <f t="shared" ref="J3:J35" si="3">CONCATENATE(PROPER(B3)," ",PROPER(C3))</f>
        <v>Jeans Levi'S</v>
      </c>
    </row>
    <row r="4" spans="1:10" ht="15.75" customHeight="1" x14ac:dyDescent="0.25">
      <c r="A4" s="9" t="s">
        <v>97</v>
      </c>
      <c r="B4" s="9" t="s">
        <v>80</v>
      </c>
      <c r="C4" s="9" t="s">
        <v>98</v>
      </c>
      <c r="D4" s="9"/>
      <c r="E4">
        <v>25</v>
      </c>
      <c r="F4" t="s">
        <v>32</v>
      </c>
      <c r="G4" s="9">
        <f t="shared" si="0"/>
        <v>150</v>
      </c>
      <c r="H4" s="12" t="str">
        <f t="shared" si="1"/>
        <v>03-JUN</v>
      </c>
      <c r="I4" t="str">
        <f t="shared" si="2"/>
        <v>CA</v>
      </c>
      <c r="J4" t="str">
        <f t="shared" si="3"/>
        <v>Sunglasses Ray-Ban</v>
      </c>
    </row>
    <row r="5" spans="1:10" ht="15.75" customHeight="1" x14ac:dyDescent="0.25">
      <c r="A5" s="9" t="s">
        <v>33</v>
      </c>
      <c r="B5" s="9" t="s">
        <v>34</v>
      </c>
      <c r="C5" s="9" t="s">
        <v>35</v>
      </c>
      <c r="D5" s="9">
        <v>130</v>
      </c>
      <c r="E5">
        <v>40</v>
      </c>
      <c r="F5" t="s">
        <v>36</v>
      </c>
      <c r="G5" s="9">
        <f t="shared" si="0"/>
        <v>130</v>
      </c>
      <c r="H5" s="12" t="str">
        <f t="shared" si="1"/>
        <v>03-MAR</v>
      </c>
      <c r="I5" t="str">
        <f t="shared" si="2"/>
        <v>US</v>
      </c>
      <c r="J5" t="str">
        <f t="shared" si="3"/>
        <v>Coffee Maker Keurig</v>
      </c>
    </row>
    <row r="6" spans="1:10" ht="15.75" customHeight="1" x14ac:dyDescent="0.25">
      <c r="A6" s="9" t="s">
        <v>52</v>
      </c>
      <c r="B6" s="9" t="s">
        <v>53</v>
      </c>
      <c r="C6" s="9" t="s">
        <v>54</v>
      </c>
      <c r="D6" s="9">
        <v>500</v>
      </c>
      <c r="E6">
        <v>50</v>
      </c>
      <c r="F6" t="s">
        <v>28</v>
      </c>
      <c r="G6" s="9">
        <f t="shared" si="0"/>
        <v>500</v>
      </c>
      <c r="H6" s="12" t="str">
        <f t="shared" si="1"/>
        <v>05-SEP</v>
      </c>
      <c r="I6" t="str">
        <f t="shared" si="2"/>
        <v>UK</v>
      </c>
      <c r="J6" t="str">
        <f t="shared" si="3"/>
        <v>Tablet Apple</v>
      </c>
    </row>
    <row r="7" spans="1:10" ht="15.75" customHeight="1" x14ac:dyDescent="0.25">
      <c r="A7" s="9" t="s">
        <v>43</v>
      </c>
      <c r="B7" s="9" t="s">
        <v>44</v>
      </c>
      <c r="C7" s="9" t="s">
        <v>45</v>
      </c>
      <c r="D7" s="9"/>
      <c r="E7">
        <v>45</v>
      </c>
      <c r="F7" t="s">
        <v>28</v>
      </c>
      <c r="G7" s="9">
        <f t="shared" si="0"/>
        <v>250</v>
      </c>
      <c r="H7" s="12" t="str">
        <f t="shared" si="1"/>
        <v>07-JUN</v>
      </c>
      <c r="I7" t="str">
        <f t="shared" si="2"/>
        <v>UK</v>
      </c>
      <c r="J7" t="str">
        <f t="shared" si="3"/>
        <v>Headphones Sony</v>
      </c>
    </row>
    <row r="8" spans="1:10" ht="15.75" customHeight="1" x14ac:dyDescent="0.25">
      <c r="A8" s="9" t="s">
        <v>101</v>
      </c>
      <c r="B8" s="9" t="s">
        <v>102</v>
      </c>
      <c r="C8" s="9" t="s">
        <v>103</v>
      </c>
      <c r="D8" s="9">
        <v>60</v>
      </c>
      <c r="E8">
        <v>30</v>
      </c>
      <c r="F8" t="s">
        <v>32</v>
      </c>
      <c r="G8" s="9">
        <f t="shared" si="0"/>
        <v>60</v>
      </c>
      <c r="H8" s="12" t="str">
        <f t="shared" si="1"/>
        <v>07-MAR</v>
      </c>
      <c r="I8" t="str">
        <f t="shared" si="2"/>
        <v>CA</v>
      </c>
      <c r="J8" t="str">
        <f t="shared" si="3"/>
        <v>Dress Zara</v>
      </c>
    </row>
    <row r="9" spans="1:10" ht="15.75" customHeight="1" x14ac:dyDescent="0.25">
      <c r="A9" s="9" t="s">
        <v>63</v>
      </c>
      <c r="B9" s="9" t="s">
        <v>34</v>
      </c>
      <c r="C9" s="9" t="s">
        <v>64</v>
      </c>
      <c r="D9" s="9">
        <v>120</v>
      </c>
      <c r="E9">
        <v>35</v>
      </c>
      <c r="F9" t="s">
        <v>36</v>
      </c>
      <c r="G9" s="9">
        <f t="shared" si="0"/>
        <v>120</v>
      </c>
      <c r="H9" s="12" t="str">
        <f t="shared" si="1"/>
        <v>08-DEC</v>
      </c>
      <c r="I9" t="str">
        <f t="shared" si="2"/>
        <v>DE</v>
      </c>
      <c r="J9" t="str">
        <f t="shared" si="3"/>
        <v>Coffee Maker Nespresso</v>
      </c>
    </row>
    <row r="10" spans="1:10" ht="15.75" customHeight="1" x14ac:dyDescent="0.25">
      <c r="A10" s="9" t="s">
        <v>88</v>
      </c>
      <c r="B10" s="9" t="s">
        <v>89</v>
      </c>
      <c r="C10" s="9" t="s">
        <v>90</v>
      </c>
      <c r="D10" s="9">
        <v>80</v>
      </c>
      <c r="E10">
        <v>20</v>
      </c>
      <c r="F10" t="s">
        <v>36</v>
      </c>
      <c r="G10" s="9">
        <f t="shared" si="0"/>
        <v>80</v>
      </c>
      <c r="H10" s="12" t="str">
        <f t="shared" si="1"/>
        <v>09-JAN</v>
      </c>
      <c r="I10" t="str">
        <f t="shared" si="2"/>
        <v>CA</v>
      </c>
      <c r="J10" t="str">
        <f t="shared" si="3"/>
        <v>Microwave Panasonic</v>
      </c>
    </row>
    <row r="11" spans="1:10" ht="15.75" customHeight="1" x14ac:dyDescent="0.25">
      <c r="A11" s="9" t="s">
        <v>112</v>
      </c>
      <c r="B11" s="9" t="s">
        <v>113</v>
      </c>
      <c r="C11" s="9" t="s">
        <v>114</v>
      </c>
      <c r="D11" s="9">
        <v>100</v>
      </c>
      <c r="E11">
        <v>20</v>
      </c>
      <c r="F11" t="s">
        <v>74</v>
      </c>
      <c r="G11" s="9">
        <f t="shared" si="0"/>
        <v>100</v>
      </c>
      <c r="H11" s="12" t="str">
        <f t="shared" si="1"/>
        <v>09-JUL</v>
      </c>
      <c r="I11" t="str">
        <f t="shared" si="2"/>
        <v>FR</v>
      </c>
      <c r="J11" t="str">
        <f t="shared" si="3"/>
        <v>Watch Casio</v>
      </c>
    </row>
    <row r="12" spans="1:10" ht="15.75" customHeight="1" x14ac:dyDescent="0.25">
      <c r="A12" s="9" t="s">
        <v>37</v>
      </c>
      <c r="B12" s="9" t="s">
        <v>38</v>
      </c>
      <c r="C12" s="9" t="s">
        <v>39</v>
      </c>
      <c r="D12" s="9">
        <v>900</v>
      </c>
      <c r="E12">
        <v>25</v>
      </c>
      <c r="F12" t="s">
        <v>28</v>
      </c>
      <c r="G12" s="9">
        <f t="shared" si="0"/>
        <v>900</v>
      </c>
      <c r="H12" s="12" t="str">
        <f t="shared" si="1"/>
        <v>11-APR</v>
      </c>
      <c r="I12" t="str">
        <f t="shared" si="2"/>
        <v>US</v>
      </c>
      <c r="J12" t="str">
        <f t="shared" si="3"/>
        <v>Smartphone Samsung</v>
      </c>
    </row>
    <row r="13" spans="1:10" ht="15.75" customHeight="1" x14ac:dyDescent="0.25">
      <c r="A13" s="9" t="s">
        <v>99</v>
      </c>
      <c r="B13" s="9" t="s">
        <v>50</v>
      </c>
      <c r="C13" s="9" t="s">
        <v>100</v>
      </c>
      <c r="D13" s="9">
        <v>400</v>
      </c>
      <c r="E13">
        <v>40</v>
      </c>
      <c r="F13" t="s">
        <v>36</v>
      </c>
      <c r="G13" s="9">
        <f t="shared" si="0"/>
        <v>400</v>
      </c>
      <c r="H13" s="12" t="str">
        <f t="shared" si="1"/>
        <v>11-JUL</v>
      </c>
      <c r="I13" t="str">
        <f t="shared" si="2"/>
        <v>CA</v>
      </c>
      <c r="J13" t="str">
        <f t="shared" si="3"/>
        <v>Blender Vitamix</v>
      </c>
    </row>
    <row r="14" spans="1:10" ht="15.75" customHeight="1" x14ac:dyDescent="0.25">
      <c r="A14" s="9" t="s">
        <v>104</v>
      </c>
      <c r="B14" s="9" t="s">
        <v>105</v>
      </c>
      <c r="C14" s="9" t="s">
        <v>106</v>
      </c>
      <c r="D14" s="9">
        <v>40</v>
      </c>
      <c r="E14">
        <v>10</v>
      </c>
      <c r="F14" t="s">
        <v>36</v>
      </c>
      <c r="G14" s="9">
        <f t="shared" si="0"/>
        <v>40</v>
      </c>
      <c r="H14" s="12" t="str">
        <f t="shared" si="1"/>
        <v>13-APR</v>
      </c>
      <c r="I14" t="str">
        <f t="shared" si="2"/>
        <v>CA</v>
      </c>
      <c r="J14" t="str">
        <f t="shared" si="3"/>
        <v>Toaster Hamilton</v>
      </c>
    </row>
    <row r="15" spans="1:10" ht="15.75" customHeight="1" x14ac:dyDescent="0.25">
      <c r="A15" s="9" t="s">
        <v>82</v>
      </c>
      <c r="B15" s="9" t="s">
        <v>83</v>
      </c>
      <c r="C15" s="9" t="s">
        <v>84</v>
      </c>
      <c r="D15" s="9"/>
      <c r="E15">
        <v>10</v>
      </c>
      <c r="F15" t="s">
        <v>58</v>
      </c>
      <c r="G15" s="9">
        <f>IF(D15="",AVERAGEIF(F10:F35,F15,$D$2:$D$35),D15)</f>
        <v>120</v>
      </c>
      <c r="H15" s="12" t="str">
        <f t="shared" si="1"/>
        <v>14-AUG</v>
      </c>
      <c r="I15" t="str">
        <f t="shared" si="2"/>
        <v>US</v>
      </c>
      <c r="J15" t="str">
        <f t="shared" si="3"/>
        <v>Camping Tent Coleman</v>
      </c>
    </row>
    <row r="16" spans="1:10" ht="15.75" customHeight="1" x14ac:dyDescent="0.25">
      <c r="A16" s="9" t="s">
        <v>85</v>
      </c>
      <c r="B16" s="9" t="s">
        <v>86</v>
      </c>
      <c r="C16" s="9" t="s">
        <v>87</v>
      </c>
      <c r="D16" s="9">
        <v>700</v>
      </c>
      <c r="E16">
        <v>50</v>
      </c>
      <c r="F16" t="s">
        <v>28</v>
      </c>
      <c r="G16" s="9">
        <f t="shared" ref="G16:G32" si="4">IF(D16="",AVERAGEIF($B$2:$B$35,B16,$D$2:$D$35),D16)</f>
        <v>700</v>
      </c>
      <c r="H16" s="12" t="str">
        <f t="shared" si="1"/>
        <v>14-MAY</v>
      </c>
      <c r="I16" t="str">
        <f t="shared" si="2"/>
        <v>RU</v>
      </c>
      <c r="J16" t="str">
        <f t="shared" si="3"/>
        <v>Camera Nikon</v>
      </c>
    </row>
    <row r="17" spans="1:10" ht="15.75" customHeight="1" x14ac:dyDescent="0.25">
      <c r="A17" s="9" t="s">
        <v>55</v>
      </c>
      <c r="B17" s="9" t="s">
        <v>56</v>
      </c>
      <c r="C17" s="9" t="s">
        <v>57</v>
      </c>
      <c r="D17" s="9">
        <v>130</v>
      </c>
      <c r="E17">
        <v>10</v>
      </c>
      <c r="F17" t="s">
        <v>58</v>
      </c>
      <c r="G17" s="9">
        <f t="shared" si="4"/>
        <v>130</v>
      </c>
      <c r="H17" s="12" t="str">
        <f t="shared" si="1"/>
        <v>14-OCT</v>
      </c>
      <c r="I17" t="str">
        <f t="shared" si="2"/>
        <v>UK</v>
      </c>
      <c r="J17" t="str">
        <f t="shared" si="3"/>
        <v>Hiking Boots Timberland</v>
      </c>
    </row>
    <row r="18" spans="1:10" ht="15.75" customHeight="1" x14ac:dyDescent="0.25">
      <c r="A18" s="9" t="s">
        <v>29</v>
      </c>
      <c r="B18" s="9" t="s">
        <v>30</v>
      </c>
      <c r="C18" s="9" t="s">
        <v>31</v>
      </c>
      <c r="D18" s="9">
        <v>80</v>
      </c>
      <c r="E18">
        <v>15</v>
      </c>
      <c r="F18" t="s">
        <v>32</v>
      </c>
      <c r="G18" s="9">
        <f t="shared" si="4"/>
        <v>80</v>
      </c>
      <c r="H18" s="12" t="str">
        <f t="shared" si="1"/>
        <v>15-FEB</v>
      </c>
      <c r="I18" t="str">
        <f t="shared" si="2"/>
        <v>US</v>
      </c>
      <c r="J18" t="str">
        <f t="shared" si="3"/>
        <v>Sneakers Nike</v>
      </c>
    </row>
    <row r="19" spans="1:10" ht="15.75" customHeight="1" x14ac:dyDescent="0.25">
      <c r="A19" s="9" t="s">
        <v>68</v>
      </c>
      <c r="B19" s="9" t="s">
        <v>69</v>
      </c>
      <c r="C19" s="9" t="s">
        <v>70</v>
      </c>
      <c r="D19" s="9">
        <v>250</v>
      </c>
      <c r="E19">
        <v>20</v>
      </c>
      <c r="F19" t="s">
        <v>28</v>
      </c>
      <c r="G19" s="9">
        <f t="shared" si="4"/>
        <v>250</v>
      </c>
      <c r="H19" s="12" t="str">
        <f t="shared" si="1"/>
        <v>16-APR</v>
      </c>
      <c r="I19" t="str">
        <f t="shared" si="2"/>
        <v>ES</v>
      </c>
      <c r="J19" t="str">
        <f t="shared" si="3"/>
        <v>Headphones Bose</v>
      </c>
    </row>
    <row r="20" spans="1:10" ht="15.75" customHeight="1" x14ac:dyDescent="0.25">
      <c r="A20" s="9" t="s">
        <v>59</v>
      </c>
      <c r="B20" s="9" t="s">
        <v>60</v>
      </c>
      <c r="C20" s="9" t="s">
        <v>61</v>
      </c>
      <c r="D20" s="9">
        <v>950</v>
      </c>
      <c r="E20">
        <v>25</v>
      </c>
      <c r="F20" t="s">
        <v>28</v>
      </c>
      <c r="G20" s="9">
        <f t="shared" si="4"/>
        <v>950</v>
      </c>
      <c r="H20" s="12" t="str">
        <f t="shared" si="1"/>
        <v>17-JUN</v>
      </c>
      <c r="I20" t="str">
        <f t="shared" si="2"/>
        <v>IN</v>
      </c>
      <c r="J20" t="str">
        <f t="shared" si="3"/>
        <v>Laptop Hp</v>
      </c>
    </row>
    <row r="21" spans="1:10" ht="15.75" customHeight="1" x14ac:dyDescent="0.25">
      <c r="A21" s="9" t="s">
        <v>65</v>
      </c>
      <c r="B21" s="9" t="s">
        <v>66</v>
      </c>
      <c r="C21" s="9" t="s">
        <v>67</v>
      </c>
      <c r="D21" s="9">
        <v>150</v>
      </c>
      <c r="E21">
        <v>15</v>
      </c>
      <c r="F21" t="s">
        <v>28</v>
      </c>
      <c r="G21" s="9">
        <f t="shared" si="4"/>
        <v>150</v>
      </c>
      <c r="H21" s="12" t="str">
        <f t="shared" si="1"/>
        <v>18-FEB</v>
      </c>
      <c r="I21" t="str">
        <f t="shared" si="2"/>
        <v>CA</v>
      </c>
      <c r="J21" t="str">
        <f t="shared" si="3"/>
        <v>Smartwatch Fitbit</v>
      </c>
    </row>
    <row r="22" spans="1:10" ht="15.75" customHeight="1" x14ac:dyDescent="0.25">
      <c r="A22" s="9" t="s">
        <v>91</v>
      </c>
      <c r="B22" s="9" t="s">
        <v>92</v>
      </c>
      <c r="C22" s="9" t="s">
        <v>93</v>
      </c>
      <c r="D22" s="9">
        <v>150</v>
      </c>
      <c r="E22">
        <v>30</v>
      </c>
      <c r="F22" t="s">
        <v>28</v>
      </c>
      <c r="G22" s="9">
        <f t="shared" si="4"/>
        <v>150</v>
      </c>
      <c r="H22" s="12" t="str">
        <f t="shared" si="1"/>
        <v>19-JUL</v>
      </c>
      <c r="I22" t="str">
        <f t="shared" si="2"/>
        <v>BR</v>
      </c>
      <c r="J22" t="str">
        <f t="shared" si="3"/>
        <v>Fitness Tracker Xiaomi</v>
      </c>
    </row>
    <row r="23" spans="1:10" ht="15.75" customHeight="1" x14ac:dyDescent="0.25">
      <c r="A23" s="9" t="s">
        <v>46</v>
      </c>
      <c r="B23" s="9" t="s">
        <v>47</v>
      </c>
      <c r="C23" s="9" t="s">
        <v>48</v>
      </c>
      <c r="D23" s="9">
        <v>30</v>
      </c>
      <c r="E23">
        <v>5</v>
      </c>
      <c r="F23" t="s">
        <v>32</v>
      </c>
      <c r="G23" s="9">
        <f t="shared" si="4"/>
        <v>30</v>
      </c>
      <c r="H23" s="12" t="str">
        <f t="shared" si="1"/>
        <v>19-JUL</v>
      </c>
      <c r="I23" t="str">
        <f t="shared" si="2"/>
        <v>UK</v>
      </c>
      <c r="J23" t="str">
        <f t="shared" si="3"/>
        <v>T-Shirt Adidas</v>
      </c>
    </row>
    <row r="24" spans="1:10" ht="15.75" customHeight="1" x14ac:dyDescent="0.25">
      <c r="A24" s="9" t="s">
        <v>75</v>
      </c>
      <c r="B24" s="9" t="s">
        <v>66</v>
      </c>
      <c r="C24" s="9" t="s">
        <v>76</v>
      </c>
      <c r="D24" s="9">
        <v>160</v>
      </c>
      <c r="E24">
        <v>15</v>
      </c>
      <c r="F24" t="s">
        <v>28</v>
      </c>
      <c r="G24" s="9">
        <f t="shared" si="4"/>
        <v>160</v>
      </c>
      <c r="H24" s="12" t="str">
        <f t="shared" si="1"/>
        <v>20-AUG</v>
      </c>
      <c r="I24" t="str">
        <f t="shared" si="2"/>
        <v>CN</v>
      </c>
      <c r="J24" t="str">
        <f t="shared" si="3"/>
        <v>Smartwatch Huawei</v>
      </c>
    </row>
    <row r="25" spans="1:10" ht="15.75" customHeight="1" x14ac:dyDescent="0.25">
      <c r="A25" s="9" t="s">
        <v>71</v>
      </c>
      <c r="B25" s="9" t="s">
        <v>72</v>
      </c>
      <c r="C25" s="9" t="s">
        <v>73</v>
      </c>
      <c r="D25" s="9">
        <v>50</v>
      </c>
      <c r="E25">
        <v>35</v>
      </c>
      <c r="F25" t="s">
        <v>74</v>
      </c>
      <c r="G25" s="9">
        <f t="shared" si="4"/>
        <v>50</v>
      </c>
      <c r="H25" s="12" t="str">
        <f t="shared" si="1"/>
        <v>21-AUG</v>
      </c>
      <c r="I25" t="str">
        <f t="shared" si="2"/>
        <v>CA</v>
      </c>
      <c r="J25" t="str">
        <f t="shared" si="3"/>
        <v>Laptop Bag Samsonite</v>
      </c>
    </row>
    <row r="26" spans="1:10" ht="15.75" customHeight="1" x14ac:dyDescent="0.25">
      <c r="A26" s="9" t="s">
        <v>40</v>
      </c>
      <c r="B26" s="9" t="s">
        <v>41</v>
      </c>
      <c r="C26" s="9" t="s">
        <v>42</v>
      </c>
      <c r="D26" s="9">
        <v>70</v>
      </c>
      <c r="E26">
        <v>20</v>
      </c>
      <c r="F26" t="s">
        <v>32</v>
      </c>
      <c r="G26" s="9">
        <f t="shared" si="4"/>
        <v>70</v>
      </c>
      <c r="H26" s="12" t="str">
        <f t="shared" si="1"/>
        <v>22-MAY</v>
      </c>
      <c r="I26" t="str">
        <f t="shared" si="2"/>
        <v>US</v>
      </c>
      <c r="J26" t="str">
        <f t="shared" si="3"/>
        <v>Backpack North Face</v>
      </c>
    </row>
    <row r="27" spans="1:10" ht="15.75" customHeight="1" x14ac:dyDescent="0.25">
      <c r="A27" s="9" t="s">
        <v>49</v>
      </c>
      <c r="B27" s="9" t="s">
        <v>50</v>
      </c>
      <c r="C27" s="9" t="s">
        <v>51</v>
      </c>
      <c r="D27" s="9">
        <v>90</v>
      </c>
      <c r="E27">
        <v>35</v>
      </c>
      <c r="F27" t="s">
        <v>36</v>
      </c>
      <c r="G27" s="9">
        <f t="shared" si="4"/>
        <v>90</v>
      </c>
      <c r="H27" s="12" t="str">
        <f t="shared" si="1"/>
        <v>23-AUG</v>
      </c>
      <c r="I27" t="str">
        <f t="shared" si="2"/>
        <v>UK</v>
      </c>
      <c r="J27" t="str">
        <f t="shared" si="3"/>
        <v>Blender Ninja</v>
      </c>
    </row>
    <row r="28" spans="1:10" ht="15.75" customHeight="1" x14ac:dyDescent="0.25">
      <c r="A28" s="9" t="s">
        <v>107</v>
      </c>
      <c r="B28" s="9" t="s">
        <v>92</v>
      </c>
      <c r="C28" s="9" t="s">
        <v>108</v>
      </c>
      <c r="D28" s="9">
        <v>130</v>
      </c>
      <c r="E28">
        <v>5</v>
      </c>
      <c r="F28" t="s">
        <v>28</v>
      </c>
      <c r="G28" s="9">
        <f t="shared" si="4"/>
        <v>130</v>
      </c>
      <c r="H28" s="12" t="str">
        <f t="shared" si="1"/>
        <v>24-MAY</v>
      </c>
      <c r="I28" t="str">
        <f t="shared" si="2"/>
        <v>CA</v>
      </c>
      <c r="J28" t="str">
        <f t="shared" si="3"/>
        <v>Fitness Tracker Garmin</v>
      </c>
    </row>
    <row r="29" spans="1:10" ht="15.75" customHeight="1" x14ac:dyDescent="0.25">
      <c r="A29" s="9" t="s">
        <v>62</v>
      </c>
      <c r="B29" s="9" t="s">
        <v>30</v>
      </c>
      <c r="C29" s="9" t="s">
        <v>48</v>
      </c>
      <c r="D29" s="9">
        <v>90</v>
      </c>
      <c r="E29">
        <v>40</v>
      </c>
      <c r="F29" t="s">
        <v>32</v>
      </c>
      <c r="G29" s="9">
        <f t="shared" si="4"/>
        <v>90</v>
      </c>
      <c r="H29" s="12" t="str">
        <f t="shared" si="1"/>
        <v>25-NOV</v>
      </c>
      <c r="I29" t="str">
        <f t="shared" si="2"/>
        <v>AU</v>
      </c>
      <c r="J29" t="str">
        <f t="shared" si="3"/>
        <v>Sneakers Adidas</v>
      </c>
    </row>
    <row r="30" spans="1:10" ht="15.75" customHeight="1" x14ac:dyDescent="0.25">
      <c r="A30" s="9" t="s">
        <v>77</v>
      </c>
      <c r="B30" s="9" t="s">
        <v>26</v>
      </c>
      <c r="C30" s="9" t="s">
        <v>78</v>
      </c>
      <c r="D30" s="9">
        <v>980</v>
      </c>
      <c r="E30">
        <v>10</v>
      </c>
      <c r="F30" t="s">
        <v>28</v>
      </c>
      <c r="G30" s="9">
        <f t="shared" si="4"/>
        <v>980</v>
      </c>
      <c r="H30" s="12" t="str">
        <f t="shared" si="1"/>
        <v>27-JAN</v>
      </c>
      <c r="I30" t="str">
        <f t="shared" si="2"/>
        <v>IT</v>
      </c>
      <c r="J30" t="str">
        <f t="shared" si="3"/>
        <v>Laptop Asus</v>
      </c>
    </row>
    <row r="31" spans="1:10" ht="15.75" customHeight="1" x14ac:dyDescent="0.25">
      <c r="A31" s="9" t="s">
        <v>25</v>
      </c>
      <c r="B31" s="9" t="s">
        <v>26</v>
      </c>
      <c r="C31" s="9" t="s">
        <v>27</v>
      </c>
      <c r="D31" s="9">
        <v>1000</v>
      </c>
      <c r="E31">
        <v>30</v>
      </c>
      <c r="F31" t="s">
        <v>28</v>
      </c>
      <c r="G31" s="9">
        <f t="shared" si="4"/>
        <v>1000</v>
      </c>
      <c r="H31" s="12" t="str">
        <f t="shared" si="1"/>
        <v>28-JAN</v>
      </c>
      <c r="I31" t="str">
        <f t="shared" si="2"/>
        <v>US</v>
      </c>
      <c r="J31" t="str">
        <f t="shared" si="3"/>
        <v>Laptop Dell</v>
      </c>
    </row>
    <row r="32" spans="1:10" ht="15.75" customHeight="1" x14ac:dyDescent="0.25">
      <c r="A32" s="9" t="s">
        <v>94</v>
      </c>
      <c r="B32" s="9" t="s">
        <v>95</v>
      </c>
      <c r="C32" s="9" t="s">
        <v>96</v>
      </c>
      <c r="D32" s="9">
        <v>800</v>
      </c>
      <c r="E32">
        <v>45</v>
      </c>
      <c r="F32" t="s">
        <v>28</v>
      </c>
      <c r="G32" s="9">
        <f t="shared" si="4"/>
        <v>800</v>
      </c>
      <c r="H32" s="12" t="str">
        <f t="shared" si="1"/>
        <v>29-SEP</v>
      </c>
      <c r="I32" t="str">
        <f t="shared" si="2"/>
        <v>CA</v>
      </c>
      <c r="J32" t="str">
        <f t="shared" si="3"/>
        <v>Smartphone Google</v>
      </c>
    </row>
    <row r="33" spans="8:10" ht="15.75" customHeight="1" x14ac:dyDescent="0.25">
      <c r="H33" s="12" t="str">
        <f t="shared" si="1"/>
        <v/>
      </c>
      <c r="I33" t="str">
        <f t="shared" si="2"/>
        <v/>
      </c>
      <c r="J33" t="str">
        <f t="shared" si="3"/>
        <v xml:space="preserve"> </v>
      </c>
    </row>
    <row r="34" spans="8:10" ht="15.75" customHeight="1" x14ac:dyDescent="0.25">
      <c r="H34" s="12" t="str">
        <f t="shared" si="1"/>
        <v/>
      </c>
      <c r="I34" t="str">
        <f t="shared" si="2"/>
        <v/>
      </c>
      <c r="J34" t="str">
        <f t="shared" si="3"/>
        <v xml:space="preserve"> </v>
      </c>
    </row>
    <row r="35" spans="8:10" ht="15.75" customHeight="1" x14ac:dyDescent="0.25">
      <c r="H35" s="12" t="str">
        <f t="shared" si="1"/>
        <v/>
      </c>
      <c r="I35" t="str">
        <f t="shared" si="2"/>
        <v/>
      </c>
      <c r="J35" t="str">
        <f t="shared" si="3"/>
        <v xml:space="preserve"> </v>
      </c>
    </row>
    <row r="36" spans="8:10" ht="15.75" customHeight="1" x14ac:dyDescent="0.25"/>
    <row r="37" spans="8:10" ht="15.75" customHeight="1" x14ac:dyDescent="0.25"/>
    <row r="38" spans="8:10" ht="15.75" customHeight="1" x14ac:dyDescent="0.25"/>
    <row r="39" spans="8:10" ht="15.75" customHeight="1" x14ac:dyDescent="0.25"/>
    <row r="40" spans="8:10" ht="15.75" customHeight="1" x14ac:dyDescent="0.25"/>
    <row r="41" spans="8:10" ht="15.75" customHeight="1" x14ac:dyDescent="0.25"/>
    <row r="42" spans="8:10" ht="15.75" customHeight="1" x14ac:dyDescent="0.25"/>
    <row r="43" spans="8:10" ht="15.75" customHeight="1" x14ac:dyDescent="0.25"/>
    <row r="44" spans="8:10" ht="15.75" customHeight="1" x14ac:dyDescent="0.25"/>
    <row r="45" spans="8:10" ht="15.75" customHeight="1" x14ac:dyDescent="0.25"/>
    <row r="46" spans="8:10" ht="15.75" customHeight="1" x14ac:dyDescent="0.25"/>
    <row r="47" spans="8:10" ht="15.75" customHeight="1" x14ac:dyDescent="0.25"/>
    <row r="48" spans="8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G1:G1048576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{C2971086-E950-44F5-B682-9ED15D632905}</x14:id>
        </ext>
      </extLst>
    </cfRule>
  </conditionalFormatting>
  <conditionalFormatting sqref="F1:F1048576">
    <cfRule type="containsText" dxfId="0" priority="1" operator="containsText" text="Electronics">
      <formula>NOT(ISERROR(SEARCH("Electronics",F1)))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2971086-E950-44F5-B682-9ED15D6329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Vinci Vinnu</cp:lastModifiedBy>
  <dcterms:modified xsi:type="dcterms:W3CDTF">2025-10-10T15:05:17Z</dcterms:modified>
</cp:coreProperties>
</file>